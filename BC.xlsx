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t\OneDrive\Desktop\"/>
    </mc:Choice>
  </mc:AlternateContent>
  <xr:revisionPtr revIDLastSave="0" documentId="13_ncr:1_{451E4118-9041-4E09-AF5E-144FF77F89D4}" xr6:coauthVersionLast="45" xr6:coauthVersionMax="47" xr10:uidLastSave="{00000000-0000-0000-0000-000000000000}"/>
  <bookViews>
    <workbookView xWindow="-120" yWindow="-120" windowWidth="29040" windowHeight="15720" xr2:uid="{C2AC4841-0A03-4C81-B460-DB5686B8CE59}"/>
  </bookViews>
  <sheets>
    <sheet name="BC" sheetId="2" r:id="rId1"/>
  </sheets>
  <definedNames>
    <definedName name="_xlnm._FilterDatabase" localSheetId="0" hidden="1">BC!$H$14:$N$14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3" i="2" l="1"/>
  <c r="N23" i="2" s="1"/>
  <c r="M20" i="2"/>
  <c r="N20" i="2" s="1"/>
  <c r="M18" i="2"/>
  <c r="N18" i="2" s="1"/>
  <c r="M17" i="2"/>
  <c r="N17" i="2" s="1"/>
  <c r="J11" i="2"/>
  <c r="J10" i="2"/>
  <c r="J9" i="2"/>
  <c r="J8" i="2"/>
  <c r="J7" i="2"/>
  <c r="J6" i="2"/>
  <c r="J5" i="2"/>
  <c r="M50" i="2" l="1"/>
  <c r="N50" i="2" s="1"/>
  <c r="M16" i="2"/>
  <c r="N16" i="2" s="1"/>
  <c r="M41" i="2"/>
  <c r="N41" i="2" s="1"/>
  <c r="M33" i="2"/>
  <c r="N33" i="2" s="1"/>
  <c r="M25" i="2"/>
  <c r="N25" i="2" s="1"/>
  <c r="M48" i="2"/>
  <c r="N48" i="2" s="1"/>
  <c r="M28" i="2"/>
  <c r="N28" i="2" s="1"/>
  <c r="M24" i="2"/>
  <c r="N24" i="2" s="1"/>
  <c r="M30" i="2"/>
  <c r="N30" i="2" s="1"/>
  <c r="M31" i="2"/>
  <c r="N31" i="2" s="1"/>
  <c r="M45" i="2"/>
  <c r="N45" i="2" s="1"/>
  <c r="M40" i="2"/>
  <c r="N40" i="2" s="1"/>
  <c r="M36" i="2"/>
  <c r="N36" i="2" s="1"/>
  <c r="M32" i="2"/>
  <c r="N32" i="2" s="1"/>
  <c r="M49" i="2"/>
  <c r="N49" i="2" s="1"/>
  <c r="M29" i="2"/>
  <c r="N29" i="2" s="1"/>
  <c r="M21" i="2"/>
  <c r="N21" i="2" s="1"/>
  <c r="M44" i="2"/>
  <c r="N44" i="2" s="1"/>
  <c r="M47" i="2"/>
  <c r="N47" i="2" s="1"/>
  <c r="M43" i="2"/>
  <c r="N43" i="2" s="1"/>
  <c r="M27" i="2"/>
  <c r="N27" i="2" s="1"/>
  <c r="M19" i="2"/>
  <c r="N19" i="2" s="1"/>
  <c r="M38" i="2"/>
  <c r="N38" i="2" s="1"/>
  <c r="M34" i="2"/>
  <c r="N34" i="2" s="1"/>
  <c r="M26" i="2"/>
  <c r="N26" i="2" s="1"/>
  <c r="M22" i="2"/>
  <c r="N22" i="2" s="1"/>
  <c r="M37" i="2"/>
  <c r="N37" i="2" s="1"/>
  <c r="M52" i="2"/>
  <c r="N52" i="2" s="1"/>
  <c r="M39" i="2"/>
  <c r="N39" i="2" s="1"/>
  <c r="M35" i="2"/>
  <c r="N35" i="2" s="1"/>
  <c r="M46" i="2"/>
  <c r="M42" i="2"/>
  <c r="N42" i="2" s="1"/>
  <c r="M51" i="2"/>
  <c r="N51" i="2" s="1"/>
  <c r="M15" i="2"/>
  <c r="N15" i="2" s="1"/>
  <c r="M53" i="2" l="1"/>
  <c r="N53" i="2" s="1"/>
</calcChain>
</file>

<file path=xl/sharedStrings.xml><?xml version="1.0" encoding="utf-8"?>
<sst xmlns="http://schemas.openxmlformats.org/spreadsheetml/2006/main" count="72" uniqueCount="71">
  <si>
    <t>Tuần</t>
  </si>
  <si>
    <t>Tháng</t>
  </si>
  <si>
    <t>I. VẬN HÀNH</t>
  </si>
  <si>
    <t>STT</t>
  </si>
  <si>
    <t>Chỉ số KPIs</t>
  </si>
  <si>
    <t>Plan M1</t>
  </si>
  <si>
    <t>+/- Plan</t>
  </si>
  <si>
    <r>
      <t xml:space="preserve">Số lượng sự cố </t>
    </r>
    <r>
      <rPr>
        <sz val="11"/>
        <color rgb="FF2F75B5"/>
        <rFont val="Calibri"/>
        <family val="2"/>
      </rPr>
      <t>(Slg)</t>
    </r>
  </si>
  <si>
    <r>
      <t xml:space="preserve">KHG ảnh hưởng/ sự cố </t>
    </r>
    <r>
      <rPr>
        <sz val="11"/>
        <color rgb="FF2F75B5"/>
        <rFont val="Calibri"/>
        <family val="2"/>
      </rPr>
      <t>(Slg)</t>
    </r>
  </si>
  <si>
    <r>
      <t xml:space="preserve">Số lượng KHG ảnh hưởng </t>
    </r>
    <r>
      <rPr>
        <sz val="11"/>
        <color rgb="FF2F75B5"/>
        <rFont val="Calibri"/>
        <family val="2"/>
      </rPr>
      <t>(Slg)</t>
    </r>
  </si>
  <si>
    <r>
      <t xml:space="preserve">Thời gian XLSC trung bình </t>
    </r>
    <r>
      <rPr>
        <sz val="11"/>
        <color rgb="FF2F75B5"/>
        <rFont val="Calibri"/>
        <family val="2"/>
      </rPr>
      <t>(phút)</t>
    </r>
  </si>
  <si>
    <r>
      <t xml:space="preserve">Thời gian gián đoạn TB </t>
    </r>
    <r>
      <rPr>
        <sz val="11"/>
        <color rgb="FF2F75B5"/>
        <rFont val="Calibri"/>
        <family val="2"/>
      </rPr>
      <t>(phút)</t>
    </r>
  </si>
  <si>
    <r>
      <t xml:space="preserve">SAIDI </t>
    </r>
    <r>
      <rPr>
        <sz val="11"/>
        <color rgb="FF2F75B5"/>
        <rFont val="Calibri"/>
        <family val="2"/>
      </rPr>
      <t>(phút)</t>
    </r>
  </si>
  <si>
    <r>
      <t>Tỷ lệ KHG ảnh hưởng</t>
    </r>
    <r>
      <rPr>
        <sz val="11"/>
        <color rgb="FF2F75B5"/>
        <rFont val="Calibri"/>
        <family val="2"/>
      </rPr>
      <t xml:space="preserve"> (%)</t>
    </r>
  </si>
  <si>
    <t>POP</t>
  </si>
  <si>
    <t>Ghi chú</t>
  </si>
  <si>
    <t>Tổng</t>
  </si>
  <si>
    <t>TQGP009</t>
  </si>
  <si>
    <t>II. KHAI THÁC</t>
  </si>
  <si>
    <t>Tổng port</t>
  </si>
  <si>
    <t>Port sử dụng</t>
  </si>
  <si>
    <t>Port trống</t>
  </si>
  <si>
    <t>Tỷ lệ</t>
  </si>
  <si>
    <t>TQGP001</t>
  </si>
  <si>
    <t>TQGP002</t>
  </si>
  <si>
    <t>TQGP003</t>
  </si>
  <si>
    <t>TQGP004</t>
  </si>
  <si>
    <t>TQGP005</t>
  </si>
  <si>
    <t>TQGP006</t>
  </si>
  <si>
    <t>TQGP007</t>
  </si>
  <si>
    <t>TQGP008</t>
  </si>
  <si>
    <t>TQGP010</t>
  </si>
  <si>
    <t>TQGP011</t>
  </si>
  <si>
    <t>TQGP012</t>
  </si>
  <si>
    <t>TQGP013</t>
  </si>
  <si>
    <t>TQGP014</t>
  </si>
  <si>
    <t>TQGP015</t>
  </si>
  <si>
    <t>TQGP016</t>
  </si>
  <si>
    <t>TQGP017</t>
  </si>
  <si>
    <t>TQGP018</t>
  </si>
  <si>
    <t>TQGP019</t>
  </si>
  <si>
    <t>TQGP020</t>
  </si>
  <si>
    <t>TQGP021</t>
  </si>
  <si>
    <t>TQGP022</t>
  </si>
  <si>
    <t>TQGP023</t>
  </si>
  <si>
    <t>TQGP024</t>
  </si>
  <si>
    <t>TQGP025</t>
  </si>
  <si>
    <t>TQGP026</t>
  </si>
  <si>
    <t>TQGP027</t>
  </si>
  <si>
    <t>TQGP028</t>
  </si>
  <si>
    <t>TQGP029</t>
  </si>
  <si>
    <t>TQGP030</t>
  </si>
  <si>
    <t>TQGP031</t>
  </si>
  <si>
    <t>TQGP032</t>
  </si>
  <si>
    <t>TQGP033</t>
  </si>
  <si>
    <t>TQGP034</t>
  </si>
  <si>
    <t>TQGP035</t>
  </si>
  <si>
    <t>TQGP036</t>
  </si>
  <si>
    <t>TQGP037</t>
  </si>
  <si>
    <t>TQGP038</t>
  </si>
  <si>
    <t>Nhận xét chung</t>
  </si>
  <si>
    <r>
      <t xml:space="preserve"> - Tỷ lệ khai thác trung bình là </t>
    </r>
    <r>
      <rPr>
        <b/>
        <sz val="11"/>
        <color rgb="FF000000"/>
        <rFont val="Calibri"/>
        <family val="2"/>
      </rPr>
      <t>46.6%</t>
    </r>
    <r>
      <rPr>
        <sz val="11"/>
        <color theme="1"/>
        <rFont val="Calibri"/>
        <family val="2"/>
        <scheme val="minor"/>
      </rPr>
      <t>, số port khả dụng còn khá nhiều</t>
    </r>
    <r>
      <rPr>
        <b/>
        <sz val="11"/>
        <color rgb="FF000000"/>
        <rFont val="Calibri"/>
        <family val="2"/>
      </rPr>
      <t xml:space="preserve"> (Khoảng 32,809 port trống)</t>
    </r>
    <r>
      <rPr>
        <sz val="11"/>
        <color theme="1"/>
        <rFont val="Calibri"/>
        <family val="2"/>
        <scheme val="minor"/>
      </rPr>
      <t>.</t>
    </r>
  </si>
  <si>
    <t>Nhóm POP khai thác hiệu quả:</t>
  </si>
  <si>
    <r>
      <t xml:space="preserve">Bao gồm: </t>
    </r>
    <r>
      <rPr>
        <b/>
        <sz val="11"/>
        <color rgb="FF000000"/>
        <rFont val="Calibri"/>
        <family val="2"/>
      </rPr>
      <t xml:space="preserve">TQGP007 (68,7%), TQGP008 (70.9%), TQGP010 (68.1%), TQGP014 (72,9%)… </t>
    </r>
  </si>
  <si>
    <t>Nhóm POP khai thác thấp (dưới 30%)</t>
  </si>
  <si>
    <r>
      <t xml:space="preserve">Bao gồm: </t>
    </r>
    <r>
      <rPr>
        <b/>
        <sz val="11"/>
        <color rgb="FF000000"/>
        <rFont val="Calibri"/>
        <family val="2"/>
      </rPr>
      <t>TQGP035 (13%), TQGP034 (20.5%), TQGP033 (27.5%), TQGP019 (28.4%) TQGP037 (14.7%)</t>
    </r>
  </si>
  <si>
    <t>26-W35</t>
  </si>
  <si>
    <t>26-W36</t>
  </si>
  <si>
    <t>26-W37</t>
  </si>
  <si>
    <t>26-W38</t>
  </si>
  <si>
    <t>26-T9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</si>
</sst>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25-T&quot;#"/>
    <numFmt numFmtId="165" formatCode="0;&quot;-&quot;0;&quot;-&quot;;@"/>
    <numFmt numFmtId="166" formatCode="0.00;&quot;-&quot;0.00;&quot;-&quot;;@"/>
    <numFmt numFmtId="167" formatCode="dd\-mm\-yyyy"/>
    <numFmt numFmtId="168" formatCode="0.0%"/>
    <numFmt numFmtId="169" formatCode="0.0;&quot;-&quot;0.0;&quot;-&quot;;@"/>
    <numFmt numFmtId="170" formatCode="&quot;25-W&quot;#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2F75B5"/>
      <name val="Calibri"/>
      <family val="2"/>
    </font>
    <font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  <font>
      <sz val="11"/>
      <color rgb="FF00B050"/>
      <name val="Calibri"/>
      <family val="2"/>
    </font>
    <font>
      <sz val="10"/>
      <color rgb="FF434343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3" borderId="2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vertical="center"/>
    </xf>
    <xf numFmtId="168" fontId="6" fillId="0" borderId="0" xfId="1" applyNumberFormat="1" applyFont="1" applyFill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168" fontId="6" fillId="0" borderId="1" xfId="1" applyNumberFormat="1" applyFont="1" applyBorder="1" applyAlignment="1">
      <alignment horizontal="center" vertical="center"/>
    </xf>
    <xf numFmtId="168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70" fontId="2" fillId="3" borderId="4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0" borderId="5" xfId="0" applyBorder="1" applyAlignment="1">
      <alignment horizontal="left" vertical="center"/>
    </xf>
    <xf numFmtId="168" fontId="1" fillId="0" borderId="1" xfId="1" applyNumberForma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8" fontId="2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5"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b/>
        <color rgb="FFE97132"/>
        <family val="2"/>
      </font>
    </dxf>
    <dxf>
      <font>
        <color rgb="FFFF0000"/>
        <family val="2"/>
      </font>
    </dxf>
    <dxf>
      <font>
        <color rgb="FF00B050"/>
        <family val="2"/>
      </font>
    </dxf>
    <dxf>
      <font>
        <b/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b/>
        <color rgb="FFFF000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  <dxf>
      <font>
        <color rgb="FF00B050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A356-47FB-463A-9100-0161B630C5A9}">
  <dimension ref="B1:U60"/>
  <sheetViews>
    <sheetView tabSelected="1" topLeftCell="A49" zoomScale="115" zoomScaleNormal="115" workbookViewId="0">
      <selection activeCell="K68" sqref="K68"/>
    </sheetView>
  </sheetViews>
  <sheetFormatPr defaultColWidth="8.85546875" defaultRowHeight="15" x14ac:dyDescent="0.25"/>
  <cols>
    <col min="3" max="3" width="31.140625" customWidth="1"/>
    <col min="4" max="4" width="12.42578125" customWidth="1"/>
    <col min="5" max="9" width="11.7109375" customWidth="1"/>
    <col min="10" max="10" width="15.28515625" customWidth="1"/>
    <col min="11" max="11" width="12.42578125" customWidth="1"/>
    <col min="12" max="12" width="14.42578125" bestFit="1" customWidth="1"/>
    <col min="13" max="13" width="12.42578125" customWidth="1"/>
    <col min="14" max="14" width="29.7109375" bestFit="1" customWidth="1"/>
    <col min="16" max="16" width="10.7109375" bestFit="1" customWidth="1"/>
    <col min="18" max="21" width="12.7109375" style="4" customWidth="1"/>
    <col min="22" max="22" width="18.28515625" customWidth="1"/>
  </cols>
  <sheetData>
    <row r="1" spans="2:21" x14ac:dyDescent="0.25">
      <c r="B1" s="1" t="s">
        <v>0</v>
      </c>
      <c r="C1" s="2">
        <v>39</v>
      </c>
      <c r="D1" s="3" t="s">
        <v>1</v>
      </c>
      <c r="E1" s="3">
        <v>9</v>
      </c>
      <c r="F1" s="3">
        <v>2025</v>
      </c>
    </row>
    <row r="2" spans="2:21" x14ac:dyDescent="0.25">
      <c r="B2" s="5" t="s">
        <v>2</v>
      </c>
      <c r="C2" s="2"/>
      <c r="D2" s="3"/>
      <c r="E2" s="3"/>
      <c r="F2" s="3"/>
    </row>
    <row r="3" spans="2:21" x14ac:dyDescent="0.25">
      <c r="B3" s="47" t="s">
        <v>3</v>
      </c>
      <c r="C3" s="47" t="s">
        <v>4</v>
      </c>
      <c r="D3" s="48" t="s">
        <v>66</v>
      </c>
      <c r="E3" s="48" t="s">
        <v>67</v>
      </c>
      <c r="F3" s="48" t="s">
        <v>68</v>
      </c>
      <c r="G3" s="48" t="s">
        <v>69</v>
      </c>
      <c r="H3" s="45">
        <v>2026</v>
      </c>
      <c r="I3" s="45"/>
      <c r="J3" s="45"/>
    </row>
    <row r="4" spans="2:21" s="9" customFormat="1" ht="26.25" customHeight="1" x14ac:dyDescent="0.25">
      <c r="B4" s="47"/>
      <c r="C4" s="47"/>
      <c r="D4" s="49"/>
      <c r="E4" s="49"/>
      <c r="F4" s="49"/>
      <c r="G4" s="49"/>
      <c r="H4" s="6" t="s">
        <v>70</v>
      </c>
      <c r="I4" s="7" t="s">
        <v>5</v>
      </c>
      <c r="J4" s="7" t="s">
        <v>6</v>
      </c>
      <c r="K4" s="8"/>
    </row>
    <row r="5" spans="2:21" s="9" customFormat="1" ht="18.600000000000001" customHeight="1" x14ac:dyDescent="0.25">
      <c r="B5" s="10">
        <v>1</v>
      </c>
      <c r="C5" s="11" t="s">
        <v>7</v>
      </c>
      <c r="D5" s="12">
        <v>13</v>
      </c>
      <c r="E5" s="12">
        <v>16</v>
      </c>
      <c r="F5" s="12">
        <v>28</v>
      </c>
      <c r="G5" s="12">
        <v>23</v>
      </c>
      <c r="H5" s="13">
        <v>54</v>
      </c>
      <c r="I5" s="14">
        <v>50</v>
      </c>
      <c r="J5" s="15">
        <f t="shared" ref="J5:J11" si="0">+H5-I5</f>
        <v>4</v>
      </c>
      <c r="K5" s="16"/>
      <c r="L5" s="17"/>
      <c r="R5" s="18"/>
      <c r="S5" s="18"/>
      <c r="T5" s="18"/>
      <c r="U5" s="18"/>
    </row>
    <row r="6" spans="2:21" s="9" customFormat="1" ht="18.600000000000001" customHeight="1" x14ac:dyDescent="0.25">
      <c r="B6" s="10">
        <v>2</v>
      </c>
      <c r="C6" s="11" t="s">
        <v>8</v>
      </c>
      <c r="D6" s="19">
        <v>21</v>
      </c>
      <c r="E6" s="19">
        <v>16</v>
      </c>
      <c r="F6" s="19">
        <v>17.7</v>
      </c>
      <c r="G6" s="19">
        <v>14.2</v>
      </c>
      <c r="H6" s="19">
        <v>16.8</v>
      </c>
      <c r="I6" s="14">
        <v>16</v>
      </c>
      <c r="J6" s="15">
        <f t="shared" si="0"/>
        <v>0.80000000000000071</v>
      </c>
      <c r="K6" s="16"/>
      <c r="L6" s="16"/>
      <c r="R6" s="18"/>
      <c r="S6" s="18"/>
      <c r="T6" s="18"/>
      <c r="U6" s="18"/>
    </row>
    <row r="7" spans="2:21" s="9" customFormat="1" ht="18.75" customHeight="1" x14ac:dyDescent="0.25">
      <c r="B7" s="10">
        <v>3</v>
      </c>
      <c r="C7" s="11" t="s">
        <v>9</v>
      </c>
      <c r="D7" s="13">
        <v>276</v>
      </c>
      <c r="E7" s="13">
        <v>255</v>
      </c>
      <c r="F7" s="13">
        <v>495</v>
      </c>
      <c r="G7" s="13">
        <v>326</v>
      </c>
      <c r="H7" s="13">
        <v>326</v>
      </c>
      <c r="I7" s="14">
        <v>800</v>
      </c>
      <c r="J7" s="15">
        <f t="shared" si="0"/>
        <v>-474</v>
      </c>
      <c r="K7" s="16"/>
      <c r="L7" s="20"/>
      <c r="R7" s="18"/>
      <c r="S7" s="18"/>
      <c r="T7" s="18"/>
      <c r="U7" s="18"/>
    </row>
    <row r="8" spans="2:21" s="9" customFormat="1" ht="18.75" customHeight="1" x14ac:dyDescent="0.25">
      <c r="B8" s="10">
        <v>4</v>
      </c>
      <c r="C8" s="11" t="s">
        <v>10</v>
      </c>
      <c r="D8" s="13">
        <v>89</v>
      </c>
      <c r="E8" s="13">
        <v>180</v>
      </c>
      <c r="F8" s="13">
        <v>128</v>
      </c>
      <c r="G8" s="13">
        <v>169</v>
      </c>
      <c r="H8" s="13">
        <v>169</v>
      </c>
      <c r="I8" s="14">
        <v>120</v>
      </c>
      <c r="J8" s="15">
        <f t="shared" si="0"/>
        <v>49</v>
      </c>
      <c r="K8" s="16"/>
      <c r="L8" s="16"/>
      <c r="P8" s="21"/>
      <c r="R8" s="18"/>
      <c r="S8" s="18"/>
      <c r="T8" s="18"/>
      <c r="U8" s="18"/>
    </row>
    <row r="9" spans="2:21" s="9" customFormat="1" ht="18.75" customHeight="1" x14ac:dyDescent="0.25">
      <c r="B9" s="10">
        <v>5</v>
      </c>
      <c r="C9" s="11" t="s">
        <v>11</v>
      </c>
      <c r="D9" s="13">
        <v>99</v>
      </c>
      <c r="E9" s="13">
        <v>178</v>
      </c>
      <c r="F9" s="13">
        <v>164</v>
      </c>
      <c r="G9" s="13">
        <v>212</v>
      </c>
      <c r="H9" s="13">
        <v>212</v>
      </c>
      <c r="I9" s="14">
        <v>170</v>
      </c>
      <c r="J9" s="15">
        <f t="shared" si="0"/>
        <v>42</v>
      </c>
      <c r="K9" s="16"/>
      <c r="L9" s="16"/>
      <c r="R9" s="18"/>
      <c r="S9" s="18"/>
      <c r="T9" s="18"/>
      <c r="U9" s="18"/>
    </row>
    <row r="10" spans="2:21" s="9" customFormat="1" ht="18.75" customHeight="1" x14ac:dyDescent="0.25">
      <c r="B10" s="10">
        <v>6</v>
      </c>
      <c r="C10" s="11" t="s">
        <v>12</v>
      </c>
      <c r="D10" s="19">
        <v>0.79</v>
      </c>
      <c r="E10" s="19">
        <v>1.32</v>
      </c>
      <c r="F10" s="19">
        <v>2.36</v>
      </c>
      <c r="G10" s="19">
        <v>2.0099999999999998</v>
      </c>
      <c r="H10" s="19">
        <v>2.0099999999999998</v>
      </c>
      <c r="I10" s="23">
        <v>5</v>
      </c>
      <c r="J10" s="24">
        <f t="shared" si="0"/>
        <v>-2.99</v>
      </c>
      <c r="K10" s="25"/>
      <c r="L10" s="25"/>
      <c r="R10" s="18"/>
      <c r="S10" s="18"/>
      <c r="T10" s="18"/>
      <c r="U10" s="18"/>
    </row>
    <row r="11" spans="2:21" s="9" customFormat="1" ht="18.75" customHeight="1" x14ac:dyDescent="0.25">
      <c r="B11" s="10">
        <v>7</v>
      </c>
      <c r="C11" s="11" t="s">
        <v>13</v>
      </c>
      <c r="D11" s="26">
        <v>8.0000000000000002E-3</v>
      </c>
      <c r="E11" s="26">
        <v>7.4000000000000003E-3</v>
      </c>
      <c r="F11" s="26">
        <v>1.44E-2</v>
      </c>
      <c r="G11" s="26">
        <v>9.4999999999999998E-3</v>
      </c>
      <c r="H11" s="26">
        <v>9.4999999999999998E-3</v>
      </c>
      <c r="I11" s="27">
        <v>0.03</v>
      </c>
      <c r="J11" s="28">
        <f t="shared" si="0"/>
        <v>-2.0499999999999997E-2</v>
      </c>
      <c r="K11" s="22"/>
      <c r="L11" s="29"/>
      <c r="R11" s="18"/>
      <c r="S11" s="18"/>
      <c r="T11" s="18"/>
      <c r="U11" s="18"/>
    </row>
    <row r="12" spans="2:21" x14ac:dyDescent="0.25">
      <c r="B12" s="18"/>
      <c r="C12" s="9"/>
      <c r="D12" s="18"/>
      <c r="E12" s="18"/>
      <c r="J12" s="33"/>
      <c r="L12" s="18"/>
      <c r="N12" s="30"/>
    </row>
    <row r="13" spans="2:21" x14ac:dyDescent="0.25">
      <c r="H13" s="5" t="s">
        <v>18</v>
      </c>
      <c r="J13" s="4"/>
      <c r="K13" s="4"/>
      <c r="L13" s="4"/>
      <c r="M13" s="4"/>
      <c r="N13" s="9"/>
    </row>
    <row r="14" spans="2:21" ht="26.25" customHeight="1" x14ac:dyDescent="0.25">
      <c r="H14" s="31" t="s">
        <v>3</v>
      </c>
      <c r="I14" s="31" t="s">
        <v>14</v>
      </c>
      <c r="J14" s="32" t="s">
        <v>19</v>
      </c>
      <c r="K14" s="32" t="s">
        <v>20</v>
      </c>
      <c r="L14" s="32" t="s">
        <v>21</v>
      </c>
      <c r="M14" s="32" t="s">
        <v>22</v>
      </c>
      <c r="N14" s="32" t="s">
        <v>15</v>
      </c>
    </row>
    <row r="15" spans="2:21" s="9" customFormat="1" ht="18.75" customHeight="1" x14ac:dyDescent="0.25">
      <c r="H15" s="10">
        <v>1</v>
      </c>
      <c r="I15" s="34" t="s">
        <v>23</v>
      </c>
      <c r="J15" s="10">
        <v>1576</v>
      </c>
      <c r="K15" s="10">
        <v>914</v>
      </c>
      <c r="L15" s="10">
        <v>662</v>
      </c>
      <c r="M15" s="35">
        <f t="shared" ref="M15:M53" si="1">+K15/J15</f>
        <v>0.57994923857868019</v>
      </c>
      <c r="N15" s="36" t="str">
        <f t="shared" ref="N15:N45" si="2">IF(M15&gt;=55%,"Tỷ lệ khai hiệu quả",IF(M15&lt;=30%,"Tỷ lệ khai thác thấp",""))</f>
        <v>Tỷ lệ khai hiệu quả</v>
      </c>
      <c r="R15" s="18"/>
      <c r="S15" s="18"/>
      <c r="T15" s="18"/>
      <c r="U15" s="18"/>
    </row>
    <row r="16" spans="2:21" s="9" customFormat="1" ht="18.75" customHeight="1" x14ac:dyDescent="0.25">
      <c r="C16" s="37"/>
      <c r="H16" s="10">
        <v>2</v>
      </c>
      <c r="I16" s="34" t="s">
        <v>24</v>
      </c>
      <c r="J16" s="10">
        <v>1432</v>
      </c>
      <c r="K16" s="10">
        <v>823</v>
      </c>
      <c r="L16" s="10">
        <v>585</v>
      </c>
      <c r="M16" s="35">
        <f t="shared" si="1"/>
        <v>0.57472067039106145</v>
      </c>
      <c r="N16" s="36" t="str">
        <f t="shared" si="2"/>
        <v>Tỷ lệ khai hiệu quả</v>
      </c>
      <c r="R16" s="18"/>
      <c r="S16" s="18"/>
      <c r="T16" s="18"/>
      <c r="U16" s="18"/>
    </row>
    <row r="17" spans="3:21" s="9" customFormat="1" ht="18.75" customHeight="1" x14ac:dyDescent="0.25">
      <c r="C17" s="38"/>
      <c r="H17" s="10">
        <v>3</v>
      </c>
      <c r="I17" s="34" t="s">
        <v>25</v>
      </c>
      <c r="J17" s="10">
        <v>1760</v>
      </c>
      <c r="K17" s="10">
        <v>1051</v>
      </c>
      <c r="L17" s="10">
        <v>677</v>
      </c>
      <c r="M17" s="35">
        <f t="shared" si="1"/>
        <v>0.59715909090909092</v>
      </c>
      <c r="N17" s="36" t="str">
        <f t="shared" si="2"/>
        <v>Tỷ lệ khai hiệu quả</v>
      </c>
      <c r="R17" s="18"/>
      <c r="S17" s="18"/>
      <c r="T17" s="18"/>
      <c r="U17" s="18"/>
    </row>
    <row r="18" spans="3:21" s="9" customFormat="1" ht="18.75" customHeight="1" x14ac:dyDescent="0.25">
      <c r="C18" s="37"/>
      <c r="H18" s="10">
        <v>4</v>
      </c>
      <c r="I18" s="34" t="s">
        <v>26</v>
      </c>
      <c r="J18" s="10">
        <v>2672</v>
      </c>
      <c r="K18" s="10">
        <v>1654</v>
      </c>
      <c r="L18" s="10">
        <v>1018</v>
      </c>
      <c r="M18" s="35">
        <f t="shared" si="1"/>
        <v>0.61901197604790414</v>
      </c>
      <c r="N18" s="36" t="str">
        <f t="shared" si="2"/>
        <v>Tỷ lệ khai hiệu quả</v>
      </c>
      <c r="R18" s="18"/>
      <c r="S18" s="18"/>
      <c r="T18" s="18"/>
      <c r="U18" s="18"/>
    </row>
    <row r="19" spans="3:21" s="9" customFormat="1" ht="18.75" customHeight="1" x14ac:dyDescent="0.25">
      <c r="C19" s="38"/>
      <c r="H19" s="10">
        <v>5</v>
      </c>
      <c r="I19" s="34" t="s">
        <v>27</v>
      </c>
      <c r="J19" s="10">
        <v>2080</v>
      </c>
      <c r="K19" s="10">
        <v>1207</v>
      </c>
      <c r="L19" s="10">
        <v>825</v>
      </c>
      <c r="M19" s="35">
        <f t="shared" si="1"/>
        <v>0.58028846153846159</v>
      </c>
      <c r="N19" s="36" t="str">
        <f t="shared" si="2"/>
        <v>Tỷ lệ khai hiệu quả</v>
      </c>
      <c r="R19" s="18"/>
      <c r="S19" s="18"/>
      <c r="T19" s="18"/>
      <c r="U19" s="18"/>
    </row>
    <row r="20" spans="3:21" s="9" customFormat="1" ht="18.75" customHeight="1" x14ac:dyDescent="0.25">
      <c r="C20" s="37"/>
      <c r="H20" s="10">
        <v>6</v>
      </c>
      <c r="I20" s="34" t="s">
        <v>28</v>
      </c>
      <c r="J20" s="10">
        <v>2824</v>
      </c>
      <c r="K20" s="10">
        <v>1854</v>
      </c>
      <c r="L20" s="10">
        <v>866</v>
      </c>
      <c r="M20" s="35">
        <f t="shared" si="1"/>
        <v>0.65651558073654392</v>
      </c>
      <c r="N20" s="36" t="str">
        <f t="shared" si="2"/>
        <v>Tỷ lệ khai hiệu quả</v>
      </c>
      <c r="R20" s="18"/>
      <c r="S20" s="18"/>
      <c r="T20" s="18"/>
      <c r="U20" s="18"/>
    </row>
    <row r="21" spans="3:21" s="9" customFormat="1" ht="18.75" customHeight="1" x14ac:dyDescent="0.25">
      <c r="C21" s="38"/>
      <c r="H21" s="10">
        <v>7</v>
      </c>
      <c r="I21" s="34" t="s">
        <v>29</v>
      </c>
      <c r="J21" s="10">
        <v>1704</v>
      </c>
      <c r="K21" s="10">
        <v>1161</v>
      </c>
      <c r="L21" s="10">
        <v>535</v>
      </c>
      <c r="M21" s="35">
        <f t="shared" si="1"/>
        <v>0.68133802816901412</v>
      </c>
      <c r="N21" s="36" t="str">
        <f t="shared" si="2"/>
        <v>Tỷ lệ khai hiệu quả</v>
      </c>
      <c r="R21" s="18"/>
      <c r="S21" s="18"/>
      <c r="T21" s="18"/>
      <c r="U21" s="18"/>
    </row>
    <row r="22" spans="3:21" s="9" customFormat="1" ht="18.75" customHeight="1" x14ac:dyDescent="0.25">
      <c r="C22" s="37"/>
      <c r="H22" s="10">
        <v>8</v>
      </c>
      <c r="I22" s="34" t="s">
        <v>30</v>
      </c>
      <c r="J22" s="10">
        <v>2912</v>
      </c>
      <c r="K22" s="10">
        <v>2187</v>
      </c>
      <c r="L22" s="10">
        <v>677</v>
      </c>
      <c r="M22" s="35">
        <f t="shared" si="1"/>
        <v>0.75103021978021978</v>
      </c>
      <c r="N22" s="36" t="str">
        <f t="shared" si="2"/>
        <v>Tỷ lệ khai hiệu quả</v>
      </c>
      <c r="R22" s="18"/>
      <c r="S22" s="18"/>
      <c r="T22" s="18"/>
      <c r="U22" s="18"/>
    </row>
    <row r="23" spans="3:21" s="9" customFormat="1" ht="18.75" customHeight="1" x14ac:dyDescent="0.25">
      <c r="C23" s="38"/>
      <c r="H23" s="10">
        <v>9</v>
      </c>
      <c r="I23" s="34" t="s">
        <v>17</v>
      </c>
      <c r="J23" s="10">
        <v>1952</v>
      </c>
      <c r="K23" s="10">
        <v>898</v>
      </c>
      <c r="L23" s="10">
        <v>910</v>
      </c>
      <c r="M23" s="35">
        <f t="shared" si="1"/>
        <v>0.46004098360655737</v>
      </c>
      <c r="N23" s="36" t="str">
        <f t="shared" si="2"/>
        <v/>
      </c>
      <c r="R23" s="18"/>
      <c r="S23" s="18"/>
      <c r="T23" s="18"/>
      <c r="U23" s="18"/>
    </row>
    <row r="24" spans="3:21" s="9" customFormat="1" ht="18.75" customHeight="1" x14ac:dyDescent="0.25">
      <c r="C24" s="37"/>
      <c r="H24" s="10">
        <v>10</v>
      </c>
      <c r="I24" s="34" t="s">
        <v>31</v>
      </c>
      <c r="J24" s="10">
        <v>1496</v>
      </c>
      <c r="K24" s="10">
        <v>1077</v>
      </c>
      <c r="L24" s="10">
        <v>419</v>
      </c>
      <c r="M24" s="35">
        <f t="shared" si="1"/>
        <v>0.71991978609625673</v>
      </c>
      <c r="N24" s="36" t="str">
        <f t="shared" si="2"/>
        <v>Tỷ lệ khai hiệu quả</v>
      </c>
      <c r="R24" s="18"/>
      <c r="S24" s="18"/>
      <c r="T24" s="18"/>
      <c r="U24" s="18"/>
    </row>
    <row r="25" spans="3:21" s="9" customFormat="1" ht="18.75" customHeight="1" x14ac:dyDescent="0.25">
      <c r="C25" s="38"/>
      <c r="H25" s="10">
        <v>11</v>
      </c>
      <c r="I25" s="34" t="s">
        <v>32</v>
      </c>
      <c r="J25" s="10">
        <v>2148</v>
      </c>
      <c r="K25" s="10">
        <v>1267</v>
      </c>
      <c r="L25" s="10">
        <v>837</v>
      </c>
      <c r="M25" s="35">
        <f t="shared" si="1"/>
        <v>0.58985102420856605</v>
      </c>
      <c r="N25" s="36" t="str">
        <f t="shared" si="2"/>
        <v>Tỷ lệ khai hiệu quả</v>
      </c>
      <c r="R25" s="18"/>
      <c r="S25" s="18"/>
      <c r="T25" s="18"/>
      <c r="U25" s="18"/>
    </row>
    <row r="26" spans="3:21" s="9" customFormat="1" ht="18.75" customHeight="1" x14ac:dyDescent="0.25">
      <c r="C26" s="37"/>
      <c r="H26" s="10">
        <v>12</v>
      </c>
      <c r="I26" s="34" t="s">
        <v>33</v>
      </c>
      <c r="J26" s="10">
        <v>2104</v>
      </c>
      <c r="K26" s="10">
        <v>1032</v>
      </c>
      <c r="L26" s="10">
        <v>1072</v>
      </c>
      <c r="M26" s="35">
        <f t="shared" si="1"/>
        <v>0.49049429657794674</v>
      </c>
      <c r="N26" s="36" t="str">
        <f t="shared" si="2"/>
        <v/>
      </c>
      <c r="R26" s="18"/>
      <c r="S26" s="18"/>
      <c r="T26" s="18"/>
      <c r="U26" s="18"/>
    </row>
    <row r="27" spans="3:21" s="9" customFormat="1" ht="18.75" customHeight="1" x14ac:dyDescent="0.25">
      <c r="C27" s="38"/>
      <c r="H27" s="10">
        <v>13</v>
      </c>
      <c r="I27" s="34" t="s">
        <v>34</v>
      </c>
      <c r="J27" s="10">
        <v>1880</v>
      </c>
      <c r="K27" s="10">
        <v>1384</v>
      </c>
      <c r="L27" s="10">
        <v>472</v>
      </c>
      <c r="M27" s="35">
        <f t="shared" si="1"/>
        <v>0.7361702127659574</v>
      </c>
      <c r="N27" s="36" t="str">
        <f t="shared" si="2"/>
        <v>Tỷ lệ khai hiệu quả</v>
      </c>
      <c r="R27" s="18"/>
      <c r="S27" s="18"/>
      <c r="T27" s="18"/>
      <c r="U27" s="18"/>
    </row>
    <row r="28" spans="3:21" s="9" customFormat="1" ht="18.75" customHeight="1" x14ac:dyDescent="0.25">
      <c r="C28" s="37"/>
      <c r="H28" s="10">
        <v>14</v>
      </c>
      <c r="I28" s="34" t="s">
        <v>35</v>
      </c>
      <c r="J28" s="10">
        <v>1752</v>
      </c>
      <c r="K28" s="10">
        <v>824</v>
      </c>
      <c r="L28" s="10">
        <v>912</v>
      </c>
      <c r="M28" s="35">
        <f t="shared" si="1"/>
        <v>0.47031963470319632</v>
      </c>
      <c r="N28" s="39" t="str">
        <f t="shared" si="2"/>
        <v/>
      </c>
      <c r="R28" s="18"/>
      <c r="S28" s="18"/>
      <c r="T28" s="18"/>
      <c r="U28" s="18"/>
    </row>
    <row r="29" spans="3:21" s="9" customFormat="1" ht="18.75" customHeight="1" x14ac:dyDescent="0.25">
      <c r="C29" s="38"/>
      <c r="H29" s="10">
        <v>15</v>
      </c>
      <c r="I29" s="34" t="s">
        <v>36</v>
      </c>
      <c r="J29" s="10">
        <v>904</v>
      </c>
      <c r="K29" s="10">
        <v>473</v>
      </c>
      <c r="L29" s="10">
        <v>431</v>
      </c>
      <c r="M29" s="35">
        <f t="shared" si="1"/>
        <v>0.52323008849557517</v>
      </c>
      <c r="N29" s="39" t="str">
        <f t="shared" si="2"/>
        <v/>
      </c>
      <c r="R29" s="18"/>
      <c r="S29" s="18"/>
      <c r="T29" s="18"/>
      <c r="U29" s="18"/>
    </row>
    <row r="30" spans="3:21" s="9" customFormat="1" ht="18.75" customHeight="1" x14ac:dyDescent="0.25">
      <c r="H30" s="10">
        <v>16</v>
      </c>
      <c r="I30" s="34" t="s">
        <v>37</v>
      </c>
      <c r="J30" s="10">
        <v>1632</v>
      </c>
      <c r="K30" s="10">
        <v>798</v>
      </c>
      <c r="L30" s="10">
        <v>834</v>
      </c>
      <c r="M30" s="35">
        <f t="shared" si="1"/>
        <v>0.4889705882352941</v>
      </c>
      <c r="N30" s="39" t="str">
        <f t="shared" si="2"/>
        <v/>
      </c>
      <c r="R30" s="18"/>
      <c r="S30" s="18"/>
      <c r="T30" s="18"/>
      <c r="U30" s="18"/>
    </row>
    <row r="31" spans="3:21" s="9" customFormat="1" ht="18.75" customHeight="1" x14ac:dyDescent="0.25">
      <c r="C31" s="40"/>
      <c r="H31" s="10">
        <v>17</v>
      </c>
      <c r="I31" s="34" t="s">
        <v>38</v>
      </c>
      <c r="J31" s="10">
        <v>1132</v>
      </c>
      <c r="K31" s="10">
        <v>555</v>
      </c>
      <c r="L31" s="10">
        <v>541</v>
      </c>
      <c r="M31" s="35">
        <f t="shared" si="1"/>
        <v>0.49028268551236748</v>
      </c>
      <c r="N31" s="39" t="str">
        <f t="shared" si="2"/>
        <v/>
      </c>
      <c r="R31" s="18"/>
      <c r="S31" s="18"/>
      <c r="T31" s="18"/>
      <c r="U31" s="18"/>
    </row>
    <row r="32" spans="3:21" s="9" customFormat="1" ht="18.75" customHeight="1" x14ac:dyDescent="0.25">
      <c r="H32" s="10">
        <v>18</v>
      </c>
      <c r="I32" s="34" t="s">
        <v>39</v>
      </c>
      <c r="J32" s="10">
        <v>888</v>
      </c>
      <c r="K32" s="10">
        <v>441</v>
      </c>
      <c r="L32" s="10">
        <v>431</v>
      </c>
      <c r="M32" s="35">
        <f t="shared" si="1"/>
        <v>0.4966216216216216</v>
      </c>
      <c r="N32" s="39" t="str">
        <f t="shared" si="2"/>
        <v/>
      </c>
      <c r="R32" s="18"/>
      <c r="S32" s="18"/>
      <c r="T32" s="18"/>
      <c r="U32" s="18"/>
    </row>
    <row r="33" spans="8:21" s="9" customFormat="1" ht="18.75" customHeight="1" x14ac:dyDescent="0.25">
      <c r="H33" s="10">
        <v>19</v>
      </c>
      <c r="I33" s="34" t="s">
        <v>40</v>
      </c>
      <c r="J33" s="10">
        <v>600</v>
      </c>
      <c r="K33" s="10">
        <v>181</v>
      </c>
      <c r="L33" s="10">
        <v>419</v>
      </c>
      <c r="M33" s="35">
        <f t="shared" si="1"/>
        <v>0.30166666666666669</v>
      </c>
      <c r="N33" s="39" t="str">
        <f t="shared" si="2"/>
        <v/>
      </c>
    </row>
    <row r="34" spans="8:21" s="30" customFormat="1" ht="18.75" customHeight="1" x14ac:dyDescent="0.25">
      <c r="H34" s="10">
        <v>20</v>
      </c>
      <c r="I34" s="34" t="s">
        <v>41</v>
      </c>
      <c r="J34" s="10">
        <v>608</v>
      </c>
      <c r="K34" s="10">
        <v>314</v>
      </c>
      <c r="L34" s="10">
        <v>294</v>
      </c>
      <c r="M34" s="35">
        <f t="shared" si="1"/>
        <v>0.51644736842105265</v>
      </c>
      <c r="N34" s="39" t="str">
        <f t="shared" si="2"/>
        <v/>
      </c>
    </row>
    <row r="35" spans="8:21" s="9" customFormat="1" ht="18.75" customHeight="1" x14ac:dyDescent="0.25">
      <c r="H35" s="10">
        <v>21</v>
      </c>
      <c r="I35" s="34" t="s">
        <v>42</v>
      </c>
      <c r="J35" s="10">
        <v>1208</v>
      </c>
      <c r="K35" s="10">
        <v>760</v>
      </c>
      <c r="L35" s="10">
        <v>384</v>
      </c>
      <c r="M35" s="35">
        <f t="shared" si="1"/>
        <v>0.62913907284768211</v>
      </c>
      <c r="N35" s="36" t="str">
        <f t="shared" si="2"/>
        <v>Tỷ lệ khai hiệu quả</v>
      </c>
      <c r="R35" s="18"/>
      <c r="S35" s="18"/>
      <c r="T35" s="18"/>
      <c r="U35" s="18"/>
    </row>
    <row r="36" spans="8:21" s="9" customFormat="1" ht="18.75" customHeight="1" x14ac:dyDescent="0.25">
      <c r="H36" s="10">
        <v>22</v>
      </c>
      <c r="I36" s="34" t="s">
        <v>43</v>
      </c>
      <c r="J36" s="10">
        <v>1752</v>
      </c>
      <c r="K36" s="10">
        <v>484</v>
      </c>
      <c r="L36" s="10">
        <v>1244</v>
      </c>
      <c r="M36" s="35">
        <f t="shared" si="1"/>
        <v>0.27625570776255709</v>
      </c>
      <c r="N36" s="39" t="str">
        <f t="shared" si="2"/>
        <v>Tỷ lệ khai thác thấp</v>
      </c>
      <c r="R36" s="18"/>
      <c r="S36" s="18"/>
      <c r="T36" s="18"/>
      <c r="U36" s="18"/>
    </row>
    <row r="37" spans="8:21" s="9" customFormat="1" ht="18.75" customHeight="1" x14ac:dyDescent="0.25">
      <c r="H37" s="10">
        <v>23</v>
      </c>
      <c r="I37" s="34" t="s">
        <v>44</v>
      </c>
      <c r="J37" s="10">
        <v>1320</v>
      </c>
      <c r="K37" s="10">
        <v>727</v>
      </c>
      <c r="L37" s="10">
        <v>593</v>
      </c>
      <c r="M37" s="35">
        <f t="shared" si="1"/>
        <v>0.55075757575757578</v>
      </c>
      <c r="N37" s="36" t="str">
        <f t="shared" si="2"/>
        <v>Tỷ lệ khai hiệu quả</v>
      </c>
      <c r="R37" s="18"/>
      <c r="S37" s="18"/>
      <c r="T37" s="18"/>
      <c r="U37" s="18"/>
    </row>
    <row r="38" spans="8:21" s="9" customFormat="1" ht="18.75" customHeight="1" x14ac:dyDescent="0.25">
      <c r="H38" s="10">
        <v>24</v>
      </c>
      <c r="I38" s="34" t="s">
        <v>45</v>
      </c>
      <c r="J38" s="10">
        <v>2840</v>
      </c>
      <c r="K38" s="10">
        <v>1296</v>
      </c>
      <c r="L38" s="10">
        <v>1496</v>
      </c>
      <c r="M38" s="35">
        <f t="shared" si="1"/>
        <v>0.45633802816901409</v>
      </c>
      <c r="N38" s="36" t="str">
        <f t="shared" si="2"/>
        <v/>
      </c>
      <c r="R38" s="18"/>
      <c r="S38" s="18"/>
      <c r="T38" s="18"/>
      <c r="U38" s="18"/>
    </row>
    <row r="39" spans="8:21" s="9" customFormat="1" ht="18.75" customHeight="1" x14ac:dyDescent="0.25">
      <c r="H39" s="10">
        <v>25</v>
      </c>
      <c r="I39" s="34" t="s">
        <v>46</v>
      </c>
      <c r="J39" s="10">
        <v>1088</v>
      </c>
      <c r="K39" s="10">
        <v>623</v>
      </c>
      <c r="L39" s="10">
        <v>465</v>
      </c>
      <c r="M39" s="35">
        <f t="shared" si="1"/>
        <v>0.57261029411764708</v>
      </c>
      <c r="N39" s="36" t="str">
        <f t="shared" si="2"/>
        <v>Tỷ lệ khai hiệu quả</v>
      </c>
      <c r="R39" s="18"/>
      <c r="S39" s="18"/>
      <c r="T39" s="18"/>
      <c r="U39" s="18"/>
    </row>
    <row r="40" spans="8:21" s="9" customFormat="1" ht="18.75" customHeight="1" x14ac:dyDescent="0.25">
      <c r="H40" s="10">
        <v>26</v>
      </c>
      <c r="I40" s="34" t="s">
        <v>47</v>
      </c>
      <c r="J40" s="10">
        <v>1784</v>
      </c>
      <c r="K40" s="10">
        <v>988</v>
      </c>
      <c r="L40" s="10">
        <v>748</v>
      </c>
      <c r="M40" s="35">
        <f t="shared" si="1"/>
        <v>0.55381165919282516</v>
      </c>
      <c r="N40" s="36" t="str">
        <f t="shared" si="2"/>
        <v>Tỷ lệ khai hiệu quả</v>
      </c>
      <c r="R40" s="18"/>
      <c r="S40" s="18"/>
      <c r="T40" s="18"/>
      <c r="U40" s="18"/>
    </row>
    <row r="41" spans="8:21" s="9" customFormat="1" ht="18.75" customHeight="1" x14ac:dyDescent="0.25">
      <c r="H41" s="10">
        <v>27</v>
      </c>
      <c r="I41" s="34" t="s">
        <v>48</v>
      </c>
      <c r="J41" s="10">
        <v>2592</v>
      </c>
      <c r="K41" s="10">
        <v>1255</v>
      </c>
      <c r="L41" s="10">
        <v>1257</v>
      </c>
      <c r="M41" s="35">
        <f t="shared" si="1"/>
        <v>0.48418209876543211</v>
      </c>
      <c r="N41" s="39" t="str">
        <f t="shared" si="2"/>
        <v/>
      </c>
      <c r="R41" s="18"/>
      <c r="S41" s="18"/>
      <c r="T41" s="18"/>
      <c r="U41" s="18"/>
    </row>
    <row r="42" spans="8:21" s="9" customFormat="1" ht="18.75" customHeight="1" x14ac:dyDescent="0.25">
      <c r="H42" s="10">
        <v>28</v>
      </c>
      <c r="I42" s="34" t="s">
        <v>49</v>
      </c>
      <c r="J42" s="10">
        <v>2304</v>
      </c>
      <c r="K42" s="10">
        <v>951</v>
      </c>
      <c r="L42" s="10">
        <v>1297</v>
      </c>
      <c r="M42" s="35">
        <f t="shared" si="1"/>
        <v>0.41276041666666669</v>
      </c>
      <c r="N42" s="39" t="str">
        <f t="shared" si="2"/>
        <v/>
      </c>
      <c r="R42" s="18"/>
      <c r="S42" s="18"/>
      <c r="T42" s="18"/>
      <c r="U42" s="18"/>
    </row>
    <row r="43" spans="8:21" s="9" customFormat="1" ht="18.75" customHeight="1" x14ac:dyDescent="0.25">
      <c r="H43" s="10">
        <v>29</v>
      </c>
      <c r="I43" s="34" t="s">
        <v>50</v>
      </c>
      <c r="J43" s="10">
        <v>2296</v>
      </c>
      <c r="K43" s="10">
        <v>939</v>
      </c>
      <c r="L43" s="10">
        <v>1341</v>
      </c>
      <c r="M43" s="35">
        <f t="shared" si="1"/>
        <v>0.40897212543554007</v>
      </c>
      <c r="N43" s="39" t="str">
        <f t="shared" si="2"/>
        <v/>
      </c>
      <c r="R43" s="18"/>
      <c r="S43" s="18"/>
      <c r="T43" s="18"/>
      <c r="U43" s="18"/>
    </row>
    <row r="44" spans="8:21" s="9" customFormat="1" ht="18.75" customHeight="1" x14ac:dyDescent="0.25">
      <c r="H44" s="10">
        <v>30</v>
      </c>
      <c r="I44" s="34" t="s">
        <v>51</v>
      </c>
      <c r="J44" s="10">
        <v>1104</v>
      </c>
      <c r="K44" s="10">
        <v>384</v>
      </c>
      <c r="L44" s="10">
        <v>704</v>
      </c>
      <c r="M44" s="35">
        <f t="shared" si="1"/>
        <v>0.34782608695652173</v>
      </c>
      <c r="N44" s="39" t="str">
        <f t="shared" si="2"/>
        <v/>
      </c>
      <c r="R44" s="18"/>
      <c r="S44" s="18"/>
      <c r="T44" s="18"/>
      <c r="U44" s="18"/>
    </row>
    <row r="45" spans="8:21" s="9" customFormat="1" ht="18.75" customHeight="1" x14ac:dyDescent="0.25">
      <c r="H45" s="10">
        <v>31</v>
      </c>
      <c r="I45" s="34" t="s">
        <v>52</v>
      </c>
      <c r="J45" s="10">
        <v>2272</v>
      </c>
      <c r="K45" s="10">
        <v>1048</v>
      </c>
      <c r="L45" s="10">
        <v>1224</v>
      </c>
      <c r="M45" s="35">
        <f t="shared" si="1"/>
        <v>0.46126760563380281</v>
      </c>
      <c r="N45" s="39" t="str">
        <f t="shared" si="2"/>
        <v/>
      </c>
      <c r="R45" s="18"/>
      <c r="S45" s="18"/>
      <c r="T45" s="18"/>
      <c r="U45" s="18"/>
    </row>
    <row r="46" spans="8:21" s="9" customFormat="1" ht="18.75" customHeight="1" x14ac:dyDescent="0.25">
      <c r="H46" s="10">
        <v>32</v>
      </c>
      <c r="I46" s="34" t="s">
        <v>53</v>
      </c>
      <c r="J46" s="10">
        <v>2928</v>
      </c>
      <c r="K46" s="10">
        <v>1012</v>
      </c>
      <c r="L46" s="10">
        <v>1852</v>
      </c>
      <c r="M46" s="35">
        <f t="shared" si="1"/>
        <v>0.34562841530054644</v>
      </c>
      <c r="N46" s="39"/>
      <c r="R46" s="18"/>
      <c r="S46" s="18"/>
      <c r="T46" s="18"/>
      <c r="U46" s="18"/>
    </row>
    <row r="47" spans="8:21" s="9" customFormat="1" ht="18.75" customHeight="1" x14ac:dyDescent="0.25">
      <c r="H47" s="10">
        <v>33</v>
      </c>
      <c r="I47" s="34" t="s">
        <v>54</v>
      </c>
      <c r="J47" s="10">
        <v>2728</v>
      </c>
      <c r="K47" s="10">
        <v>1132</v>
      </c>
      <c r="L47" s="10">
        <v>1540</v>
      </c>
      <c r="M47" s="35">
        <f t="shared" si="1"/>
        <v>0.4149560117302053</v>
      </c>
      <c r="N47" s="39" t="str">
        <f t="shared" ref="N47:N53" si="3">IF(M47&gt;=55%,"Tỷ lệ khai hiệu quả",IF(M47&lt;=30%,"Tỷ lệ khai thác thấp",""))</f>
        <v/>
      </c>
      <c r="R47" s="18"/>
      <c r="S47" s="18"/>
      <c r="T47" s="18"/>
      <c r="U47" s="18"/>
    </row>
    <row r="48" spans="8:21" s="9" customFormat="1" ht="18.75" customHeight="1" x14ac:dyDescent="0.25">
      <c r="H48" s="10">
        <v>34</v>
      </c>
      <c r="I48" s="34" t="s">
        <v>55</v>
      </c>
      <c r="J48" s="10">
        <v>1920</v>
      </c>
      <c r="K48" s="10">
        <v>629</v>
      </c>
      <c r="L48" s="10">
        <v>1283</v>
      </c>
      <c r="M48" s="35">
        <f t="shared" si="1"/>
        <v>0.32760416666666664</v>
      </c>
      <c r="N48" s="39" t="str">
        <f t="shared" si="3"/>
        <v/>
      </c>
      <c r="R48" s="18"/>
      <c r="S48" s="18"/>
      <c r="T48" s="18"/>
      <c r="U48" s="18"/>
    </row>
    <row r="49" spans="8:21" s="9" customFormat="1" ht="18.75" customHeight="1" x14ac:dyDescent="0.25">
      <c r="H49" s="10">
        <v>35</v>
      </c>
      <c r="I49" s="41" t="s">
        <v>56</v>
      </c>
      <c r="J49" s="10">
        <v>2768</v>
      </c>
      <c r="K49" s="10">
        <v>631</v>
      </c>
      <c r="L49" s="10">
        <v>2137</v>
      </c>
      <c r="M49" s="35">
        <f t="shared" si="1"/>
        <v>0.22796242774566475</v>
      </c>
      <c r="N49" s="39" t="str">
        <f t="shared" si="3"/>
        <v>Tỷ lệ khai thác thấp</v>
      </c>
      <c r="R49" s="18"/>
      <c r="S49" s="18"/>
      <c r="T49" s="18"/>
      <c r="U49" s="18"/>
    </row>
    <row r="50" spans="8:21" s="9" customFormat="1" ht="18.75" customHeight="1" x14ac:dyDescent="0.25">
      <c r="H50" s="10">
        <v>36</v>
      </c>
      <c r="I50" s="34" t="s">
        <v>57</v>
      </c>
      <c r="J50" s="10">
        <v>2352</v>
      </c>
      <c r="K50" s="10">
        <v>638</v>
      </c>
      <c r="L50" s="10">
        <v>1682</v>
      </c>
      <c r="M50" s="35">
        <f t="shared" si="1"/>
        <v>0.27125850340136054</v>
      </c>
      <c r="N50" s="39" t="str">
        <f t="shared" si="3"/>
        <v>Tỷ lệ khai thác thấp</v>
      </c>
      <c r="R50" s="18"/>
      <c r="S50" s="18"/>
      <c r="T50" s="18"/>
      <c r="U50" s="18"/>
    </row>
    <row r="51" spans="8:21" s="9" customFormat="1" ht="18.75" customHeight="1" x14ac:dyDescent="0.25">
      <c r="H51" s="10">
        <v>37</v>
      </c>
      <c r="I51" s="41" t="s">
        <v>58</v>
      </c>
      <c r="J51" s="10">
        <v>2136</v>
      </c>
      <c r="K51" s="10">
        <v>805</v>
      </c>
      <c r="L51" s="10">
        <v>1331</v>
      </c>
      <c r="M51" s="35">
        <f t="shared" si="1"/>
        <v>0.37687265917602997</v>
      </c>
      <c r="N51" s="39" t="str">
        <f t="shared" si="3"/>
        <v/>
      </c>
      <c r="R51" s="18"/>
      <c r="S51" s="18"/>
      <c r="T51" s="18"/>
      <c r="U51" s="18"/>
    </row>
    <row r="52" spans="8:21" s="9" customFormat="1" ht="18.75" customHeight="1" x14ac:dyDescent="0.25">
      <c r="H52" s="10">
        <v>38</v>
      </c>
      <c r="I52" s="41" t="s">
        <v>59</v>
      </c>
      <c r="J52" s="10">
        <v>3096</v>
      </c>
      <c r="K52" s="10">
        <v>753</v>
      </c>
      <c r="L52" s="10">
        <v>2327</v>
      </c>
      <c r="M52" s="35">
        <f t="shared" si="1"/>
        <v>0.24321705426356588</v>
      </c>
      <c r="N52" s="39" t="str">
        <f t="shared" si="3"/>
        <v>Tỷ lệ khai thác thấp</v>
      </c>
      <c r="R52" s="18"/>
      <c r="S52" s="18"/>
      <c r="T52" s="18"/>
      <c r="U52" s="18"/>
    </row>
    <row r="53" spans="8:21" s="9" customFormat="1" ht="18.75" customHeight="1" x14ac:dyDescent="0.25">
      <c r="H53" s="46" t="s">
        <v>16</v>
      </c>
      <c r="I53" s="46"/>
      <c r="J53" s="42">
        <v>72544</v>
      </c>
      <c r="K53" s="42">
        <v>35150</v>
      </c>
      <c r="L53" s="42">
        <v>36322</v>
      </c>
      <c r="M53" s="43">
        <f t="shared" si="1"/>
        <v>0.48453352448169384</v>
      </c>
      <c r="N53" s="39" t="str">
        <f t="shared" si="3"/>
        <v/>
      </c>
      <c r="R53" s="18"/>
      <c r="S53" s="18"/>
      <c r="T53" s="18"/>
      <c r="U53" s="18"/>
    </row>
    <row r="55" spans="8:21" x14ac:dyDescent="0.25">
      <c r="H55" s="5" t="s">
        <v>60</v>
      </c>
    </row>
    <row r="56" spans="8:21" x14ac:dyDescent="0.25">
      <c r="H56" t="s">
        <v>61</v>
      </c>
    </row>
    <row r="57" spans="8:21" x14ac:dyDescent="0.25">
      <c r="H57" s="5" t="s">
        <v>62</v>
      </c>
    </row>
    <row r="58" spans="8:21" x14ac:dyDescent="0.25">
      <c r="H58" s="44" t="s">
        <v>63</v>
      </c>
    </row>
    <row r="59" spans="8:21" x14ac:dyDescent="0.25">
      <c r="H59" s="5" t="s">
        <v>64</v>
      </c>
    </row>
    <row r="60" spans="8:21" x14ac:dyDescent="0.25">
      <c r="H60" s="44" t="s">
        <v>65</v>
      </c>
    </row>
  </sheetData>
  <autoFilter ref="H14:N14" xr:uid="{F6433C78-46C3-481C-86A3-9B4CD241C808}"/>
  <mergeCells count="8">
    <mergeCell ref="H3:J3"/>
    <mergeCell ref="H53:I53"/>
    <mergeCell ref="B3:B4"/>
    <mergeCell ref="C3:C4"/>
    <mergeCell ref="D3:D4"/>
    <mergeCell ref="E3:E4"/>
    <mergeCell ref="F3:F4"/>
    <mergeCell ref="G3:G4"/>
  </mergeCells>
  <phoneticPr fontId="9" type="noConversion"/>
  <conditionalFormatting sqref="D11:H11">
    <cfRule type="cellIs" dxfId="64" priority="96" stopIfTrue="1" operator="lessThanOrEqual">
      <formula>0.006</formula>
    </cfRule>
  </conditionalFormatting>
  <conditionalFormatting sqref="I11">
    <cfRule type="cellIs" dxfId="63" priority="95" stopIfTrue="1" operator="lessThanOrEqual">
      <formula>0.03</formula>
    </cfRule>
  </conditionalFormatting>
  <conditionalFormatting sqref="D10:H10">
    <cfRule type="cellIs" dxfId="62" priority="94" stopIfTrue="1" operator="lessThanOrEqual">
      <formula>1</formula>
    </cfRule>
  </conditionalFormatting>
  <conditionalFormatting sqref="D5:H5">
    <cfRule type="cellIs" dxfId="61" priority="99" stopIfTrue="1" operator="lessThanOrEqual">
      <formula>10</formula>
    </cfRule>
  </conditionalFormatting>
  <conditionalFormatting sqref="D8:I8">
    <cfRule type="cellIs" dxfId="59" priority="75" stopIfTrue="1" operator="lessThanOrEqual">
      <formula>120</formula>
    </cfRule>
  </conditionalFormatting>
  <conditionalFormatting sqref="D6:I6">
    <cfRule type="cellIs" dxfId="56" priority="73" stopIfTrue="1" operator="lessThanOrEqual">
      <formula>16</formula>
    </cfRule>
  </conditionalFormatting>
  <conditionalFormatting sqref="D9:I9">
    <cfRule type="cellIs" dxfId="55" priority="87" stopIfTrue="1" operator="lessThanOrEqual">
      <formula>170</formula>
    </cfRule>
  </conditionalFormatting>
  <conditionalFormatting sqref="I5">
    <cfRule type="cellIs" dxfId="52" priority="100" stopIfTrue="1" operator="lessThanOrEqual">
      <formula>50</formula>
    </cfRule>
  </conditionalFormatting>
  <conditionalFormatting sqref="D7:I7">
    <cfRule type="cellIs" dxfId="51" priority="74" stopIfTrue="1" operator="lessThanOrEqual">
      <formula>800</formula>
    </cfRule>
  </conditionalFormatting>
  <conditionalFormatting sqref="M15:M53">
    <cfRule type="cellIs" dxfId="48" priority="80" stopIfTrue="1" operator="lessThan">
      <formula>0.3</formula>
    </cfRule>
  </conditionalFormatting>
  <conditionalFormatting sqref="D5:H5">
    <cfRule type="cellIs" dxfId="47" priority="98" stopIfTrue="1" operator="lessThan">
      <formula>12</formula>
    </cfRule>
  </conditionalFormatting>
  <conditionalFormatting sqref="M15:M53">
    <cfRule type="cellIs" dxfId="43" priority="82" stopIfTrue="1" operator="greaterThan">
      <formula>0.55</formula>
    </cfRule>
  </conditionalFormatting>
  <conditionalFormatting sqref="D5:H5">
    <cfRule type="cellIs" dxfId="42" priority="97" stopIfTrue="1" operator="greaterThan">
      <formula>50</formula>
    </cfRule>
  </conditionalFormatting>
  <conditionalFormatting sqref="M15:M53">
    <cfRule type="cellIs" dxfId="40" priority="81" stopIfTrue="1" operator="between">
      <formula>0.3</formula>
      <formula>0.54999999</formula>
    </cfRule>
  </conditionalFormatting>
  <conditionalFormatting sqref="E5:F5">
    <cfRule type="cellIs" dxfId="39" priority="62" stopIfTrue="1" operator="lessThanOrEqual">
      <formula>10</formula>
    </cfRule>
  </conditionalFormatting>
  <conditionalFormatting sqref="E8:F8">
    <cfRule type="cellIs" dxfId="38" priority="59" stopIfTrue="1" operator="lessThanOrEqual">
      <formula>120</formula>
    </cfRule>
  </conditionalFormatting>
  <conditionalFormatting sqref="E6:F6">
    <cfRule type="cellIs" dxfId="37" priority="57" stopIfTrue="1" operator="lessThanOrEqual">
      <formula>16</formula>
    </cfRule>
  </conditionalFormatting>
  <conditionalFormatting sqref="E7:F7">
    <cfRule type="cellIs" dxfId="36" priority="58" stopIfTrue="1" operator="lessThanOrEqual">
      <formula>800</formula>
    </cfRule>
  </conditionalFormatting>
  <conditionalFormatting sqref="E5:F5">
    <cfRule type="cellIs" dxfId="35" priority="61" stopIfTrue="1" operator="lessThan">
      <formula>12</formula>
    </cfRule>
  </conditionalFormatting>
  <conditionalFormatting sqref="E5:F5">
    <cfRule type="cellIs" dxfId="34" priority="60" stopIfTrue="1" operator="greaterThan">
      <formula>50</formula>
    </cfRule>
  </conditionalFormatting>
  <conditionalFormatting sqref="D11:E11">
    <cfRule type="cellIs" dxfId="33" priority="31" stopIfTrue="1" operator="lessThanOrEqual">
      <formula>0.006</formula>
    </cfRule>
  </conditionalFormatting>
  <conditionalFormatting sqref="D10:E10">
    <cfRule type="cellIs" dxfId="32" priority="30" stopIfTrue="1" operator="lessThanOrEqual">
      <formula>1</formula>
    </cfRule>
  </conditionalFormatting>
  <conditionalFormatting sqref="D5:E5">
    <cfRule type="cellIs" dxfId="31" priority="34" stopIfTrue="1" operator="lessThanOrEqual">
      <formula>10</formula>
    </cfRule>
  </conditionalFormatting>
  <conditionalFormatting sqref="D8:E8">
    <cfRule type="cellIs" dxfId="30" priority="27" stopIfTrue="1" operator="lessThanOrEqual">
      <formula>120</formula>
    </cfRule>
  </conditionalFormatting>
  <conditionalFormatting sqref="D6:E6">
    <cfRule type="cellIs" dxfId="29" priority="25" stopIfTrue="1" operator="lessThanOrEqual">
      <formula>16</formula>
    </cfRule>
  </conditionalFormatting>
  <conditionalFormatting sqref="D9:E9">
    <cfRule type="cellIs" dxfId="28" priority="29" stopIfTrue="1" operator="lessThanOrEqual">
      <formula>170</formula>
    </cfRule>
  </conditionalFormatting>
  <conditionalFormatting sqref="D7:E7">
    <cfRule type="cellIs" dxfId="27" priority="26" stopIfTrue="1" operator="lessThanOrEqual">
      <formula>800</formula>
    </cfRule>
  </conditionalFormatting>
  <conditionalFormatting sqref="D5:E5">
    <cfRule type="cellIs" dxfId="26" priority="33" stopIfTrue="1" operator="lessThan">
      <formula>12</formula>
    </cfRule>
  </conditionalFormatting>
  <conditionalFormatting sqref="D5:E5">
    <cfRule type="cellIs" dxfId="25" priority="32" stopIfTrue="1" operator="greaterThan">
      <formula>50</formula>
    </cfRule>
  </conditionalFormatting>
  <conditionalFormatting sqref="D5">
    <cfRule type="cellIs" dxfId="24" priority="24" stopIfTrue="1" operator="lessThanOrEqual">
      <formula>10</formula>
    </cfRule>
  </conditionalFormatting>
  <conditionalFormatting sqref="D8">
    <cfRule type="cellIs" dxfId="23" priority="21" stopIfTrue="1" operator="lessThanOrEqual">
      <formula>120</formula>
    </cfRule>
  </conditionalFormatting>
  <conditionalFormatting sqref="D6">
    <cfRule type="cellIs" dxfId="22" priority="19" stopIfTrue="1" operator="lessThanOrEqual">
      <formula>16</formula>
    </cfRule>
  </conditionalFormatting>
  <conditionalFormatting sqref="D7">
    <cfRule type="cellIs" dxfId="21" priority="20" stopIfTrue="1" operator="lessThanOrEqual">
      <formula>800</formula>
    </cfRule>
  </conditionalFormatting>
  <conditionalFormatting sqref="D5">
    <cfRule type="cellIs" dxfId="20" priority="23" stopIfTrue="1" operator="lessThan">
      <formula>12</formula>
    </cfRule>
  </conditionalFormatting>
  <conditionalFormatting sqref="D5">
    <cfRule type="cellIs" dxfId="19" priority="22" stopIfTrue="1" operator="greaterThan">
      <formula>50</formula>
    </cfRule>
  </conditionalFormatting>
  <conditionalFormatting sqref="D6">
    <cfRule type="cellIs" dxfId="18" priority="1" stopIfTrue="1" operator="lessThanOrEqual">
      <formula>16</formula>
    </cfRule>
  </conditionalFormatting>
  <conditionalFormatting sqref="D5:E5">
    <cfRule type="cellIs" dxfId="17" priority="18" stopIfTrue="1" operator="lessThanOrEqual">
      <formula>10</formula>
    </cfRule>
  </conditionalFormatting>
  <conditionalFormatting sqref="D8:E8">
    <cfRule type="cellIs" dxfId="16" priority="15" stopIfTrue="1" operator="lessThanOrEqual">
      <formula>120</formula>
    </cfRule>
  </conditionalFormatting>
  <conditionalFormatting sqref="D6:E6">
    <cfRule type="cellIs" dxfId="15" priority="13" stopIfTrue="1" operator="lessThanOrEqual">
      <formula>16</formula>
    </cfRule>
  </conditionalFormatting>
  <conditionalFormatting sqref="D7:E7">
    <cfRule type="cellIs" dxfId="14" priority="14" stopIfTrue="1" operator="lessThanOrEqual">
      <formula>800</formula>
    </cfRule>
  </conditionalFormatting>
  <conditionalFormatting sqref="D5:E5">
    <cfRule type="cellIs" dxfId="13" priority="17" stopIfTrue="1" operator="lessThan">
      <formula>12</formula>
    </cfRule>
  </conditionalFormatting>
  <conditionalFormatting sqref="D5:E5">
    <cfRule type="cellIs" dxfId="12" priority="16" stopIfTrue="1" operator="greaterThan">
      <formula>50</formula>
    </cfRule>
  </conditionalFormatting>
  <conditionalFormatting sqref="D5:E5">
    <cfRule type="cellIs" dxfId="11" priority="12" stopIfTrue="1" operator="lessThanOrEqual">
      <formula>10</formula>
    </cfRule>
  </conditionalFormatting>
  <conditionalFormatting sqref="D8:E8">
    <cfRule type="cellIs" dxfId="10" priority="9" stopIfTrue="1" operator="lessThanOrEqual">
      <formula>120</formula>
    </cfRule>
  </conditionalFormatting>
  <conditionalFormatting sqref="D6:E6">
    <cfRule type="cellIs" dxfId="9" priority="7" stopIfTrue="1" operator="lessThanOrEqual">
      <formula>16</formula>
    </cfRule>
  </conditionalFormatting>
  <conditionalFormatting sqref="D7:E7">
    <cfRule type="cellIs" dxfId="8" priority="8" stopIfTrue="1" operator="lessThanOrEqual">
      <formula>800</formula>
    </cfRule>
  </conditionalFormatting>
  <conditionalFormatting sqref="D5:E5">
    <cfRule type="cellIs" dxfId="7" priority="11" stopIfTrue="1" operator="lessThan">
      <formula>12</formula>
    </cfRule>
  </conditionalFormatting>
  <conditionalFormatting sqref="D5:E5">
    <cfRule type="cellIs" dxfId="6" priority="10" stopIfTrue="1" operator="greaterThan">
      <formula>50</formula>
    </cfRule>
  </conditionalFormatting>
  <conditionalFormatting sqref="D5">
    <cfRule type="cellIs" dxfId="5" priority="6" stopIfTrue="1" operator="lessThanOrEqual">
      <formula>10</formula>
    </cfRule>
  </conditionalFormatting>
  <conditionalFormatting sqref="D8">
    <cfRule type="cellIs" dxfId="4" priority="3" stopIfTrue="1" operator="lessThanOrEqual">
      <formula>120</formula>
    </cfRule>
  </conditionalFormatting>
  <conditionalFormatting sqref="D7">
    <cfRule type="cellIs" dxfId="3" priority="2" stopIfTrue="1" operator="lessThanOrEqual">
      <formula>800</formula>
    </cfRule>
  </conditionalFormatting>
  <conditionalFormatting sqref="D5">
    <cfRule type="cellIs" dxfId="2" priority="5" stopIfTrue="1" operator="lessThan">
      <formula>12</formula>
    </cfRule>
  </conditionalFormatting>
  <conditionalFormatting sqref="D5">
    <cfRule type="cellIs" dxfId="1" priority="4" stopIfTrue="1" operator="greaterThan">
      <formula>50</formula>
    </cfRule>
  </conditionalFormatting>
  <conditionalFormatting sqref="C12:C29">
    <cfRule type="expression" dxfId="0" priority="101" stopIfTrue="1">
      <formula>AND(COUNTIF($C$12:$C$29, C12)&gt;1,NOT(ISBLANK(C12)))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1F9993E744354BA466CF9497AFB7C3" ma:contentTypeVersion="11" ma:contentTypeDescription="Create a new document." ma:contentTypeScope="" ma:versionID="472316521496d5d32b1f39de2f4125c5">
  <xsd:schema xmlns:xsd="http://www.w3.org/2001/XMLSchema" xmlns:xs="http://www.w3.org/2001/XMLSchema" xmlns:p="http://schemas.microsoft.com/office/2006/metadata/properties" xmlns:ns3="0ba68097-038f-48e8-82ba-9de285e3f278" targetNamespace="http://schemas.microsoft.com/office/2006/metadata/properties" ma:root="true" ma:fieldsID="ad4ac1925115c571333b67337c6d28c4" ns3:_="">
    <xsd:import namespace="0ba68097-038f-48e8-82ba-9de285e3f27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68097-038f-48e8-82ba-9de285e3f27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a68097-038f-48e8-82ba-9de285e3f278" xsi:nil="true"/>
  </documentManagement>
</p:properties>
</file>

<file path=customXml/itemProps1.xml><?xml version="1.0" encoding="utf-8"?>
<ds:datastoreItem xmlns:ds="http://schemas.openxmlformats.org/officeDocument/2006/customXml" ds:itemID="{95108BC4-CB8A-419A-90C6-09D1D2E7D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CA5C7A-9B92-402E-ADE9-656941B0F5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a68097-038f-48e8-82ba-9de285e3f2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C91954-7EEE-4C70-94B6-F5EC57E2150C}">
  <ds:schemaRefs>
    <ds:schemaRef ds:uri="http://schemas.microsoft.com/office/2006/metadata/properties"/>
    <ds:schemaRef ds:uri="http://schemas.microsoft.com/office/infopath/2007/PartnerControls"/>
    <ds:schemaRef ds:uri="0ba68097-038f-48e8-82ba-9de285e3f2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2026-05-16T01:09:32Z</dcterms:created>
  <dcterms:modified xsi:type="dcterms:W3CDTF">2026-09-22T03:47:55Z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0x010100941F9993E744354BA466CF9497AFB7C3</vt:lpwstr>
  </property>
</Properties>
</file>